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B2204\Desktop\"/>
    </mc:Choice>
  </mc:AlternateContent>
  <bookViews>
    <workbookView xWindow="0" yWindow="0" windowWidth="19200" windowHeight="7190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7" l="1"/>
  <c r="D7" i="6"/>
  <c r="D8" i="6"/>
  <c r="D6" i="6"/>
  <c r="C12" i="5"/>
  <c r="D10" i="4"/>
  <c r="C7" i="3"/>
  <c r="C6" i="3"/>
  <c r="C5" i="3"/>
  <c r="C4" i="3"/>
  <c r="C8" i="3"/>
  <c r="D5" i="2"/>
  <c r="D6" i="2"/>
  <c r="D7" i="2"/>
  <c r="D4" i="2"/>
  <c r="C5" i="1" l="1"/>
  <c r="C6" i="1"/>
  <c r="C7" i="1"/>
  <c r="C8" i="1"/>
  <c r="C4" i="1"/>
</calcChain>
</file>

<file path=xl/sharedStrings.xml><?xml version="1.0" encoding="utf-8"?>
<sst xmlns="http://schemas.openxmlformats.org/spreadsheetml/2006/main" count="118" uniqueCount="86">
  <si>
    <t xml:space="preserve">Q.1 </t>
  </si>
  <si>
    <t>Write a formula to check if the marks in cell are greater than or equal to 40. If yes, return , otherwise . B2 "Pass" "Fail</t>
  </si>
  <si>
    <t>Student Name</t>
  </si>
  <si>
    <t>Marks</t>
  </si>
  <si>
    <t>Riya</t>
  </si>
  <si>
    <t>Siya</t>
  </si>
  <si>
    <t>Raju</t>
  </si>
  <si>
    <t>Rahul</t>
  </si>
  <si>
    <t>Ram</t>
  </si>
  <si>
    <t>Answer</t>
  </si>
  <si>
    <t>Formula</t>
  </si>
  <si>
    <t>IF(B4&gt;=40,"PASS","FAIL")</t>
  </si>
  <si>
    <t>Q.2</t>
  </si>
  <si>
    <t>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</si>
  <si>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</si>
  <si>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</si>
  <si>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</si>
  <si>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</si>
  <si>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</si>
  <si>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</si>
  <si>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</si>
  <si>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IF(AND(B5&gt;40000,C5&gt;=90),"Bonus","No Bonus")</t>
  </si>
  <si>
    <t>Write a nested IF formula:  If marks in are ≥ 90 → , ≥ 75 → , ≥ 50 → , otherwise .</t>
  </si>
  <si>
    <t xml:space="preserve">Q.3 </t>
  </si>
  <si>
    <t>Grade</t>
  </si>
  <si>
    <t>Raj</t>
  </si>
  <si>
    <t>Neha</t>
  </si>
  <si>
    <t>Vivek</t>
  </si>
  <si>
    <t>Rani</t>
  </si>
  <si>
    <t>Sneha</t>
  </si>
  <si>
    <t xml:space="preserve">Formula </t>
  </si>
  <si>
    <t>IF(B4&gt;90,"A",IF(B4&gt;75,"B",IF(B4&gt;50,"C","FAIL")))</t>
  </si>
  <si>
    <t>Q.4</t>
  </si>
  <si>
    <t>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</si>
  <si>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</si>
  <si>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</si>
  <si>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</si>
  <si>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</si>
  <si>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</si>
  <si>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</si>
  <si>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</si>
  <si>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</si>
  <si>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</si>
  <si>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</si>
  <si>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</si>
  <si>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</si>
  <si>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VLOOKUP(C10,A3:C7,3,0)</t>
  </si>
  <si>
    <t>Explanation</t>
  </si>
  <si>
    <t>We will use VLOOKUP in this case because it helps us find values vertically.</t>
  </si>
  <si>
    <t>Q.5</t>
  </si>
  <si>
    <t>A company has set the following commission structure for its sales team:</t>
  </si>
  <si>
    <t>Sales Amount</t>
  </si>
  <si>
    <t>Commission Rate</t>
  </si>
  <si>
    <t>5%</t>
  </si>
  <si>
    <t>10%</t>
  </si>
  <si>
    <t>15%</t>
  </si>
  <si>
    <t>20%</t>
  </si>
  <si>
    <t>If a salesperson achieves sales of ₹45,000, use the VLOOKUP function to determine the commission rate applicable.</t>
  </si>
  <si>
    <t>Task</t>
  </si>
  <si>
    <t>VLOOKUP</t>
  </si>
  <si>
    <t>VLOOKUP(B12,A4:B8,2,"TRUE")</t>
  </si>
  <si>
    <t>Q.6</t>
  </si>
  <si>
    <t>Write an IF function to check whether an employee has Exceeded their allowed leave balance. If Leaves Taken &gt; Allowed Leaves, display "Exceeded". Otherwise, display "OK".</t>
  </si>
  <si>
    <t>The HR department maintains the following leave records of employees Bonus or not .</t>
  </si>
  <si>
    <t>Employee Name</t>
  </si>
  <si>
    <t>Leaves Taken</t>
  </si>
  <si>
    <t>Leaves Allowed</t>
  </si>
  <si>
    <t>Leave Status</t>
  </si>
  <si>
    <t>Alex</t>
  </si>
  <si>
    <t>Bob</t>
  </si>
  <si>
    <t>Anna</t>
  </si>
  <si>
    <t>IF(Leaves Taken&lt;Leaves Allowed,"OK","Exceeded")</t>
  </si>
  <si>
    <t>Q.7</t>
  </si>
  <si>
    <t>Find the salary of EmpID = E105 using INDEX-MATCH Function.</t>
  </si>
  <si>
    <t>Salary</t>
  </si>
  <si>
    <t>E105</t>
  </si>
  <si>
    <t>E106</t>
  </si>
  <si>
    <t>INDEX(B4:B7,MATCH(B10,A4:A7,0))</t>
  </si>
  <si>
    <t>Q.8</t>
  </si>
  <si>
    <t>U se the XLOOKUP function to find the Department of the employee with Emp ID = E303.</t>
  </si>
  <si>
    <t>E303</t>
  </si>
  <si>
    <t>E301</t>
  </si>
  <si>
    <t>Dept E303</t>
  </si>
  <si>
    <t>Finds the department for EmpID E303.</t>
  </si>
  <si>
    <t>Answer:- IT</t>
  </si>
  <si>
    <t>Formula: XLOOKUP(D10,B4:B7,C4:C7,"Not Found",0)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</si>
</sst>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2" xfId="0" applyFont="1" applyFill="1" applyBorder="1"/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D13" sqref="D13"/>
    </sheetView>
  </sheetViews>
  <sheetFormatPr defaultRowHeight="14.5" x14ac:dyDescent="0.35"/>
  <cols>
    <col min="1" max="1" width="12.6328125" bestFit="1" customWidth="1"/>
    <col min="2" max="2" width="7.7265625" customWidth="1"/>
  </cols>
  <sheetData>
    <row r="1" spans="1:16" ht="18.5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35">
      <c r="A3" s="4" t="s">
        <v>2</v>
      </c>
      <c r="B3" s="4" t="s">
        <v>3</v>
      </c>
      <c r="C3" s="4" t="s">
        <v>9</v>
      </c>
    </row>
    <row r="4" spans="1:16" x14ac:dyDescent="0.35">
      <c r="A4" s="5" t="s">
        <v>4</v>
      </c>
      <c r="B4" s="5">
        <v>45</v>
      </c>
      <c r="C4" s="3" t="str">
        <f>IF(B4&gt;=40,"PASS","FAIL")</f>
        <v>PASS</v>
      </c>
    </row>
    <row r="5" spans="1:16" x14ac:dyDescent="0.35">
      <c r="A5" s="5" t="s">
        <v>5</v>
      </c>
      <c r="B5" s="5">
        <v>72</v>
      </c>
      <c r="C5" s="3" t="str">
        <f t="shared" ref="C5:C8" si="0">IF(B5&gt;=40,"PASS","FAIL")</f>
        <v>PASS</v>
      </c>
    </row>
    <row r="6" spans="1:16" x14ac:dyDescent="0.35">
      <c r="A6" s="5" t="s">
        <v>6</v>
      </c>
      <c r="B6" s="5">
        <v>55</v>
      </c>
      <c r="C6" s="3" t="str">
        <f t="shared" si="0"/>
        <v>PASS</v>
      </c>
    </row>
    <row r="7" spans="1:16" x14ac:dyDescent="0.35">
      <c r="A7" s="5" t="s">
        <v>7</v>
      </c>
      <c r="B7" s="5">
        <v>80</v>
      </c>
      <c r="C7" s="3" t="str">
        <f t="shared" si="0"/>
        <v>PASS</v>
      </c>
    </row>
    <row r="8" spans="1:16" x14ac:dyDescent="0.35">
      <c r="A8" s="5" t="s">
        <v>8</v>
      </c>
      <c r="B8" s="5">
        <v>30</v>
      </c>
      <c r="C8" s="3" t="str">
        <f t="shared" si="0"/>
        <v>FAIL</v>
      </c>
    </row>
    <row r="10" spans="1:16" x14ac:dyDescent="0.35">
      <c r="B10" s="6" t="s">
        <v>10</v>
      </c>
      <c r="C10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D7" sqref="D7"/>
    </sheetView>
  </sheetViews>
  <sheetFormatPr defaultRowHeight="14.5" x14ac:dyDescent="0.35"/>
  <cols>
    <col min="1" max="1" width="11.26953125" bestFit="1" customWidth="1"/>
    <col min="2" max="2" width="7.7265625" customWidth="1"/>
    <col min="3" max="3" width="15" bestFit="1" customWidth="1"/>
  </cols>
  <sheetData>
    <row r="1" spans="1:20" ht="15.5" x14ac:dyDescent="0.35">
      <c r="A1" s="7" t="s">
        <v>12</v>
      </c>
      <c r="B1" s="7" t="s">
        <v>13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3" spans="1:20" ht="15.5" x14ac:dyDescent="0.35">
      <c r="A3" s="9" t="s">
        <v>14</v>
      </c>
      <c r="B3" s="9" t="s">
        <v>15</v>
      </c>
      <c r="C3" s="9" t="s">
        <v>16</v>
      </c>
      <c r="D3" s="9" t="s">
        <v>9</v>
      </c>
    </row>
    <row r="4" spans="1:20" x14ac:dyDescent="0.35">
      <c r="A4" s="5" t="s">
        <v>17</v>
      </c>
      <c r="B4" s="5">
        <v>55000</v>
      </c>
      <c r="C4" s="5">
        <v>95</v>
      </c>
      <c r="D4" s="3" t="str">
        <f>IF(AND(B4&gt;40000,C4&gt;=90),"Bonus","No Bonus")</f>
        <v>Bonus</v>
      </c>
    </row>
    <row r="5" spans="1:20" x14ac:dyDescent="0.35">
      <c r="A5" s="5" t="s">
        <v>18</v>
      </c>
      <c r="B5" s="5">
        <v>65000</v>
      </c>
      <c r="C5" s="5">
        <v>85</v>
      </c>
      <c r="D5" s="3" t="str">
        <f t="shared" ref="D5:D7" si="0">IF(AND(B5&gt;40000,C5&gt;=90),"Bonus","No Bonus")</f>
        <v>No Bonus</v>
      </c>
    </row>
    <row r="6" spans="1:20" x14ac:dyDescent="0.35">
      <c r="A6" s="5" t="s">
        <v>19</v>
      </c>
      <c r="B6" s="5">
        <v>30000</v>
      </c>
      <c r="C6" s="5">
        <v>90</v>
      </c>
      <c r="D6" s="3" t="str">
        <f t="shared" si="0"/>
        <v>No Bonus</v>
      </c>
    </row>
    <row r="7" spans="1:20" x14ac:dyDescent="0.35">
      <c r="A7" s="5" t="s">
        <v>20</v>
      </c>
      <c r="B7" s="5">
        <v>25000</v>
      </c>
      <c r="C7" s="5">
        <v>65</v>
      </c>
      <c r="D7" s="3" t="str">
        <f t="shared" si="0"/>
        <v>No Bonus</v>
      </c>
    </row>
    <row r="10" spans="1:20" x14ac:dyDescent="0.35">
      <c r="B10" s="8" t="s">
        <v>10</v>
      </c>
      <c r="C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C10" sqref="C10"/>
    </sheetView>
  </sheetViews>
  <sheetFormatPr defaultRowHeight="14.5" x14ac:dyDescent="0.35"/>
  <cols>
    <col min="1" max="1" width="12.6328125" bestFit="1" customWidth="1"/>
    <col min="2" max="2" width="10.08984375" customWidth="1"/>
    <col min="3" max="3" width="5.90625" customWidth="1"/>
  </cols>
  <sheetData>
    <row r="1" spans="1:12" ht="18.5" x14ac:dyDescent="0.45">
      <c r="A1" s="1" t="s">
        <v>23</v>
      </c>
      <c r="B1" s="1" t="s">
        <v>22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35">
      <c r="A3" s="11" t="s">
        <v>2</v>
      </c>
      <c r="B3" s="11" t="s">
        <v>3</v>
      </c>
      <c r="C3" s="12" t="s">
        <v>24</v>
      </c>
    </row>
    <row r="4" spans="1:12" x14ac:dyDescent="0.35">
      <c r="A4" s="10" t="s">
        <v>25</v>
      </c>
      <c r="B4" s="10">
        <v>85</v>
      </c>
      <c r="C4" s="10" t="str">
        <f t="shared" ref="C4:C7" si="0">IF(B4&gt;90,"A",IF(B4&gt;75,"B",IF(B4&gt;50,"C","FAIL")))</f>
        <v>B</v>
      </c>
    </row>
    <row r="5" spans="1:12" x14ac:dyDescent="0.35">
      <c r="A5" s="10" t="s">
        <v>26</v>
      </c>
      <c r="B5" s="10">
        <v>96</v>
      </c>
      <c r="C5" s="10" t="str">
        <f t="shared" si="0"/>
        <v>A</v>
      </c>
    </row>
    <row r="6" spans="1:12" x14ac:dyDescent="0.35">
      <c r="A6" s="10" t="s">
        <v>27</v>
      </c>
      <c r="B6" s="10">
        <v>57</v>
      </c>
      <c r="C6" s="10" t="str">
        <f t="shared" si="0"/>
        <v>C</v>
      </c>
    </row>
    <row r="7" spans="1:12" x14ac:dyDescent="0.35">
      <c r="A7" s="10" t="s">
        <v>28</v>
      </c>
      <c r="B7" s="10">
        <v>92</v>
      </c>
      <c r="C7" s="10" t="str">
        <f t="shared" si="0"/>
        <v>A</v>
      </c>
    </row>
    <row r="8" spans="1:12" x14ac:dyDescent="0.35">
      <c r="A8" s="10" t="s">
        <v>29</v>
      </c>
      <c r="B8" s="10">
        <v>75</v>
      </c>
      <c r="C8" s="10" t="str">
        <f>IF(B8&gt;90,"A",IF(B8&gt;75,"B",IF(B8&gt;50,"C","FAIL")))</f>
        <v>C</v>
      </c>
    </row>
    <row r="10" spans="1:12" ht="18.5" x14ac:dyDescent="0.45">
      <c r="B10" s="1" t="s">
        <v>30</v>
      </c>
      <c r="C10" t="s">
        <v>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F12" sqref="F12"/>
    </sheetView>
  </sheetViews>
  <sheetFormatPr defaultRowHeight="14.5" x14ac:dyDescent="0.35"/>
  <cols>
    <col min="1" max="1" width="6.36328125" customWidth="1"/>
    <col min="2" max="2" width="7.7265625" customWidth="1"/>
    <col min="3" max="3" width="21.54296875" customWidth="1"/>
    <col min="4" max="4" width="11.08984375" bestFit="1" customWidth="1"/>
  </cols>
  <sheetData>
    <row r="1" spans="1:13" ht="15.5" x14ac:dyDescent="0.35">
      <c r="A1" s="7" t="s">
        <v>32</v>
      </c>
      <c r="B1" s="7" t="s">
        <v>33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35">
      <c r="A3" s="12" t="s">
        <v>34</v>
      </c>
      <c r="B3" s="12" t="s">
        <v>35</v>
      </c>
      <c r="C3" s="12" t="s">
        <v>36</v>
      </c>
    </row>
    <row r="4" spans="1:13" x14ac:dyDescent="0.35">
      <c r="A4" s="10" t="s">
        <v>37</v>
      </c>
      <c r="B4" s="10" t="s">
        <v>6</v>
      </c>
      <c r="C4" s="10" t="s">
        <v>38</v>
      </c>
    </row>
    <row r="5" spans="1:13" x14ac:dyDescent="0.35">
      <c r="A5" s="10" t="s">
        <v>39</v>
      </c>
      <c r="B5" s="10" t="s">
        <v>4</v>
      </c>
      <c r="C5" s="10" t="s">
        <v>40</v>
      </c>
    </row>
    <row r="6" spans="1:13" x14ac:dyDescent="0.35">
      <c r="A6" s="10" t="s">
        <v>41</v>
      </c>
      <c r="B6" s="10" t="s">
        <v>42</v>
      </c>
      <c r="C6" s="10" t="s">
        <v>43</v>
      </c>
    </row>
    <row r="7" spans="1:13" x14ac:dyDescent="0.35">
      <c r="A7" s="10" t="s">
        <v>44</v>
      </c>
      <c r="B7" s="10" t="s">
        <v>45</v>
      </c>
      <c r="C7" s="10" t="s">
        <v>15</v>
      </c>
    </row>
    <row r="9" spans="1:13" x14ac:dyDescent="0.35">
      <c r="C9" s="12" t="s">
        <v>34</v>
      </c>
      <c r="D9" s="12" t="s">
        <v>36</v>
      </c>
    </row>
    <row r="10" spans="1:13" x14ac:dyDescent="0.35">
      <c r="C10" s="10" t="s">
        <v>41</v>
      </c>
      <c r="D10" s="3" t="str">
        <f>VLOOKUP(C10,A3:C7,3,0)</f>
        <v>Finance</v>
      </c>
    </row>
    <row r="13" spans="1:13" x14ac:dyDescent="0.35">
      <c r="B13" s="6" t="s">
        <v>10</v>
      </c>
      <c r="C13" t="s">
        <v>46</v>
      </c>
    </row>
    <row r="15" spans="1:13" x14ac:dyDescent="0.35">
      <c r="B15" s="8" t="s">
        <v>47</v>
      </c>
      <c r="C15" s="2" t="s">
        <v>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16" sqref="D16"/>
    </sheetView>
  </sheetViews>
  <sheetFormatPr defaultRowHeight="14.5" x14ac:dyDescent="0.35"/>
  <cols>
    <col min="1" max="1" width="12.26953125" customWidth="1"/>
    <col min="2" max="2" width="15.36328125" customWidth="1"/>
    <col min="3" max="3" width="9" bestFit="1" customWidth="1"/>
  </cols>
  <sheetData>
    <row r="1" spans="1:11" ht="15.5" x14ac:dyDescent="0.35">
      <c r="A1" s="7" t="s">
        <v>49</v>
      </c>
      <c r="B1" s="7" t="s">
        <v>50</v>
      </c>
      <c r="C1" s="7"/>
      <c r="D1" s="7"/>
      <c r="E1" s="7"/>
      <c r="F1" s="7"/>
      <c r="G1" s="7"/>
      <c r="H1" s="7"/>
      <c r="I1" s="7"/>
      <c r="J1" s="7"/>
      <c r="K1" s="7"/>
    </row>
    <row r="2" spans="1:11" ht="15.5" x14ac:dyDescent="0.35">
      <c r="A2" s="7"/>
      <c r="B2" s="6" t="s">
        <v>57</v>
      </c>
      <c r="C2" s="7"/>
      <c r="D2" s="7"/>
      <c r="E2" s="7"/>
      <c r="F2" s="7"/>
      <c r="G2" s="7"/>
      <c r="H2" s="7"/>
      <c r="I2" s="7"/>
      <c r="J2" s="7"/>
      <c r="K2" s="7"/>
    </row>
    <row r="4" spans="1:11" x14ac:dyDescent="0.35">
      <c r="A4" s="12" t="s">
        <v>51</v>
      </c>
      <c r="B4" s="12" t="s">
        <v>52</v>
      </c>
    </row>
    <row r="5" spans="1:11" x14ac:dyDescent="0.35">
      <c r="A5" s="10">
        <v>0</v>
      </c>
      <c r="B5" s="5" t="s">
        <v>53</v>
      </c>
    </row>
    <row r="6" spans="1:11" x14ac:dyDescent="0.35">
      <c r="A6" s="10">
        <v>20000</v>
      </c>
      <c r="B6" s="5" t="s">
        <v>54</v>
      </c>
    </row>
    <row r="7" spans="1:11" x14ac:dyDescent="0.35">
      <c r="A7" s="10">
        <v>50000</v>
      </c>
      <c r="B7" s="5" t="s">
        <v>55</v>
      </c>
    </row>
    <row r="8" spans="1:11" x14ac:dyDescent="0.35">
      <c r="A8" s="10">
        <v>80000</v>
      </c>
      <c r="B8" s="5" t="s">
        <v>56</v>
      </c>
    </row>
    <row r="11" spans="1:11" x14ac:dyDescent="0.35">
      <c r="B11" s="12" t="s">
        <v>58</v>
      </c>
      <c r="C11" s="12" t="s">
        <v>59</v>
      </c>
    </row>
    <row r="12" spans="1:11" x14ac:dyDescent="0.35">
      <c r="B12" s="5">
        <v>45000</v>
      </c>
      <c r="C12" s="5" t="str">
        <f>VLOOKUP(B12,A4:B8,2,"TRUE")</f>
        <v>10%</v>
      </c>
    </row>
    <row r="14" spans="1:11" x14ac:dyDescent="0.35">
      <c r="B14" s="13" t="s">
        <v>10</v>
      </c>
      <c r="C14" s="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D8" sqref="D8"/>
    </sheetView>
  </sheetViews>
  <sheetFormatPr defaultRowHeight="14.5" x14ac:dyDescent="0.35"/>
  <cols>
    <col min="1" max="1" width="15.81640625" bestFit="1" customWidth="1"/>
    <col min="2" max="2" width="15.08984375" bestFit="1" customWidth="1"/>
    <col min="3" max="3" width="43.453125" bestFit="1" customWidth="1"/>
    <col min="4" max="4" width="12.08984375" bestFit="1" customWidth="1"/>
  </cols>
  <sheetData>
    <row r="1" spans="1:20" ht="15.5" x14ac:dyDescent="0.35">
      <c r="A1" s="7" t="s">
        <v>61</v>
      </c>
      <c r="B1" s="7" t="s">
        <v>63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</row>
    <row r="2" spans="1:20" ht="15.5" x14ac:dyDescent="0.35">
      <c r="A2" s="7"/>
      <c r="B2" s="7" t="s">
        <v>62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</row>
    <row r="3" spans="1:20" ht="15.5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</row>
    <row r="5" spans="1:20" x14ac:dyDescent="0.35">
      <c r="A5" s="12" t="s">
        <v>64</v>
      </c>
      <c r="B5" s="12" t="s">
        <v>65</v>
      </c>
      <c r="C5" s="12" t="s">
        <v>66</v>
      </c>
      <c r="D5" s="12" t="s">
        <v>67</v>
      </c>
    </row>
    <row r="6" spans="1:20" x14ac:dyDescent="0.35">
      <c r="A6" s="10" t="s">
        <v>68</v>
      </c>
      <c r="B6" s="10">
        <v>10</v>
      </c>
      <c r="C6" s="10">
        <v>12</v>
      </c>
      <c r="D6" s="10" t="str">
        <f>IF(B6&lt;C6,"OK","Exceeded")</f>
        <v>OK</v>
      </c>
    </row>
    <row r="7" spans="1:20" x14ac:dyDescent="0.35">
      <c r="A7" s="10" t="s">
        <v>69</v>
      </c>
      <c r="B7" s="10">
        <v>10</v>
      </c>
      <c r="C7" s="10">
        <v>15</v>
      </c>
      <c r="D7" s="10" t="str">
        <f t="shared" ref="D7:D8" si="0">IF(B7&lt;C7,"OK","Exceeded")</f>
        <v>OK</v>
      </c>
    </row>
    <row r="8" spans="1:20" x14ac:dyDescent="0.35">
      <c r="A8" s="10" t="s">
        <v>70</v>
      </c>
      <c r="B8" s="10">
        <v>8</v>
      </c>
      <c r="C8" s="10">
        <v>12</v>
      </c>
      <c r="D8" s="10" t="str">
        <f t="shared" si="0"/>
        <v>OK</v>
      </c>
    </row>
    <row r="10" spans="1:20" ht="15.5" x14ac:dyDescent="0.35">
      <c r="B10" s="15" t="s">
        <v>30</v>
      </c>
      <c r="C10" s="14" t="s">
        <v>71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3" sqref="C13"/>
    </sheetView>
  </sheetViews>
  <sheetFormatPr defaultRowHeight="14.5" x14ac:dyDescent="0.35"/>
  <cols>
    <col min="1" max="1" width="8.08984375" customWidth="1"/>
    <col min="2" max="2" width="12.26953125" customWidth="1"/>
  </cols>
  <sheetData>
    <row r="1" spans="1:8" ht="15.5" x14ac:dyDescent="0.35">
      <c r="A1" s="7" t="s">
        <v>72</v>
      </c>
      <c r="B1" s="7" t="s">
        <v>73</v>
      </c>
      <c r="C1" s="7"/>
      <c r="D1" s="7"/>
      <c r="E1" s="7"/>
      <c r="F1" s="7"/>
      <c r="G1" s="7"/>
      <c r="H1" s="7"/>
    </row>
    <row r="3" spans="1:8" x14ac:dyDescent="0.35">
      <c r="A3" s="12" t="s">
        <v>34</v>
      </c>
      <c r="B3" s="12" t="s">
        <v>74</v>
      </c>
    </row>
    <row r="4" spans="1:8" x14ac:dyDescent="0.35">
      <c r="A4" s="10" t="s">
        <v>44</v>
      </c>
      <c r="B4" s="10">
        <v>55000</v>
      </c>
    </row>
    <row r="5" spans="1:8" x14ac:dyDescent="0.35">
      <c r="A5" s="10" t="s">
        <v>75</v>
      </c>
      <c r="B5" s="10">
        <v>72000</v>
      </c>
    </row>
    <row r="6" spans="1:8" x14ac:dyDescent="0.35">
      <c r="A6" s="10" t="s">
        <v>76</v>
      </c>
      <c r="B6" s="10">
        <v>62000</v>
      </c>
    </row>
    <row r="7" spans="1:8" x14ac:dyDescent="0.35">
      <c r="A7" s="10" t="s">
        <v>39</v>
      </c>
      <c r="B7" s="10">
        <v>41000</v>
      </c>
    </row>
    <row r="9" spans="1:8" x14ac:dyDescent="0.35">
      <c r="B9" s="12" t="s">
        <v>34</v>
      </c>
      <c r="C9" s="12" t="s">
        <v>74</v>
      </c>
    </row>
    <row r="10" spans="1:8" x14ac:dyDescent="0.35">
      <c r="B10" s="10" t="s">
        <v>75</v>
      </c>
      <c r="C10" s="10">
        <f>INDEX(B4:B7,MATCH(B10,A4:A7,0))</f>
        <v>72000</v>
      </c>
    </row>
    <row r="13" spans="1:8" x14ac:dyDescent="0.35">
      <c r="B13" s="6" t="s">
        <v>10</v>
      </c>
      <c r="C13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I12" sqref="I12"/>
    </sheetView>
  </sheetViews>
  <sheetFormatPr defaultRowHeight="14.5" x14ac:dyDescent="0.35"/>
  <cols>
    <col min="1" max="2" width="6.36328125" customWidth="1"/>
    <col min="3" max="3" width="11.08984375" customWidth="1"/>
    <col min="4" max="4" width="11.08984375" bestFit="1" customWidth="1"/>
  </cols>
  <sheetData>
    <row r="1" spans="1:11" ht="15.5" x14ac:dyDescent="0.35">
      <c r="A1" s="7" t="s">
        <v>78</v>
      </c>
      <c r="B1" s="7" t="s">
        <v>79</v>
      </c>
      <c r="C1" s="7"/>
      <c r="D1" s="8"/>
      <c r="E1" s="8"/>
      <c r="F1" s="8"/>
      <c r="G1" s="8"/>
      <c r="H1" s="8"/>
      <c r="I1" s="8"/>
      <c r="J1" s="8"/>
      <c r="K1" s="8"/>
    </row>
    <row r="3" spans="1:11" x14ac:dyDescent="0.35">
      <c r="B3" s="12" t="s">
        <v>34</v>
      </c>
      <c r="C3" s="12" t="s">
        <v>36</v>
      </c>
    </row>
    <row r="4" spans="1:11" x14ac:dyDescent="0.35">
      <c r="B4" s="16" t="s">
        <v>37</v>
      </c>
      <c r="C4" s="16" t="s">
        <v>40</v>
      </c>
    </row>
    <row r="5" spans="1:11" x14ac:dyDescent="0.35">
      <c r="B5" s="16" t="s">
        <v>80</v>
      </c>
      <c r="C5" s="16" t="s">
        <v>38</v>
      </c>
    </row>
    <row r="6" spans="1:11" x14ac:dyDescent="0.35">
      <c r="B6" s="16" t="s">
        <v>76</v>
      </c>
      <c r="C6" s="16" t="s">
        <v>15</v>
      </c>
    </row>
    <row r="7" spans="1:11" x14ac:dyDescent="0.35">
      <c r="B7" s="16" t="s">
        <v>81</v>
      </c>
      <c r="C7" s="16" t="s">
        <v>43</v>
      </c>
    </row>
    <row r="9" spans="1:11" x14ac:dyDescent="0.35">
      <c r="D9" s="17" t="s">
        <v>34</v>
      </c>
      <c r="E9" s="18" t="s">
        <v>36</v>
      </c>
    </row>
    <row r="10" spans="1:11" x14ac:dyDescent="0.35">
      <c r="D10" s="19" t="s">
        <v>80</v>
      </c>
      <c r="E10" s="20" t="s">
        <v>38</v>
      </c>
    </row>
    <row r="15" spans="1:11" x14ac:dyDescent="0.35">
      <c r="A15" t="s">
        <v>82</v>
      </c>
    </row>
    <row r="16" spans="1:11" x14ac:dyDescent="0.35">
      <c r="A16" t="s">
        <v>85</v>
      </c>
    </row>
    <row r="17" spans="1:1" x14ac:dyDescent="0.35">
      <c r="A17" t="s">
        <v>83</v>
      </c>
    </row>
    <row r="18" spans="1:1" x14ac:dyDescent="0.35">
      <c r="A1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Yadav</dc:creator>
  <cp:lastModifiedBy>Deepak Yadav</cp:lastModifiedBy>
  <cp:lastPrinted>2026-01-14T08:40:22Z</cp:lastPrinted>
  <dcterms:created xsi:type="dcterms:W3CDTF">2026-01-14T08:06:42Z</dcterms:created>
  <dcterms:modified xsi:type="dcterms:W3CDTF">2026-01-14T13:39:00Z</dcterms:modified>
</cp:coreProperties>
</file>